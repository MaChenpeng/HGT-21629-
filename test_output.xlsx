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汇总表" sheetId="1" state="visible" r:id="rId1"/>
    <sheet name="零件明细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right"/>
    </xf>
    <xf numFmtId="0" fontId="0" fillId="0" borderId="1" applyAlignment="1" pivotButton="0" quotePrefix="0" xfId="0">
      <alignment horizontal="left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0" customWidth="1" min="2" max="2"/>
    <col width="15" customWidth="1" min="3" max="3"/>
    <col width="8" customWidth="1" min="4" max="4"/>
    <col width="10" customWidth="1" min="5" max="5"/>
    <col width="10" customWidth="1" min="6" max="6"/>
    <col width="10" customWidth="1" min="7" max="7"/>
    <col width="6" customWidth="1" min="8" max="8"/>
    <col width="12" customWidth="1" min="9" max="9"/>
    <col width="12" customWidth="1" min="10" max="10"/>
    <col width="25" customWidth="1" min="11" max="11"/>
    <col width="10" customWidth="1" min="12" max="12"/>
    <col width="6" customWidth="1" min="13" max="13"/>
    <col width="12" customWidth="1" min="14" max="14"/>
    <col width="15" customWidth="1" min="15" max="15"/>
    <col width="12" customWidth="1" min="16" max="16"/>
  </cols>
  <sheetData>
    <row r="1">
      <c r="A1" s="1" t="inlineStr">
        <is>
          <t>序号</t>
        </is>
      </c>
      <c r="B1" s="1" t="inlineStr">
        <is>
          <t>名称及编码</t>
        </is>
      </c>
      <c r="C1" s="1" t="inlineStr">
        <is>
          <t>规格</t>
        </is>
      </c>
      <c r="D1" s="1" t="inlineStr">
        <is>
          <t>等级</t>
        </is>
      </c>
      <c r="E1" s="1" t="inlineStr">
        <is>
          <t>设计量</t>
        </is>
      </c>
      <c r="F1" s="1" t="inlineStr">
        <is>
          <t>设计裕量</t>
        </is>
      </c>
      <c r="G1" s="1" t="inlineStr">
        <is>
          <t>总量</t>
        </is>
      </c>
      <c r="H1" s="1" t="inlineStr">
        <is>
          <t>单位</t>
        </is>
      </c>
      <c r="I1" s="1" t="inlineStr">
        <is>
          <t>单重(Kg)</t>
        </is>
      </c>
      <c r="J1" s="1" t="inlineStr">
        <is>
          <t>总重(Kg)</t>
        </is>
      </c>
      <c r="K1" s="1" t="inlineStr">
        <is>
          <t>技术条件</t>
        </is>
      </c>
      <c r="L1" s="1" t="inlineStr">
        <is>
          <t>备注</t>
        </is>
      </c>
      <c r="M1" s="1" t="inlineStr">
        <is>
          <t>修改</t>
        </is>
      </c>
      <c r="N1" s="1" t="inlineStr">
        <is>
          <t>材质</t>
        </is>
      </c>
      <c r="O1" s="1" t="inlineStr">
        <is>
          <t>单位表面积m/m²</t>
        </is>
      </c>
      <c r="P1" s="1" t="inlineStr">
        <is>
          <t>零件面积m²</t>
        </is>
      </c>
    </row>
    <row r="2">
      <c r="A2" s="2" t="n">
        <v>1</v>
      </c>
      <c r="B2" s="3" t="inlineStr">
        <is>
          <t>U型螺栓</t>
        </is>
      </c>
      <c r="C2" s="3" t="inlineStr">
        <is>
          <t>DN200</t>
        </is>
      </c>
      <c r="D2" s="3" t="inlineStr"/>
      <c r="E2" s="2" t="n">
        <v>4</v>
      </c>
      <c r="F2" s="2" t="n">
        <v>0</v>
      </c>
      <c r="G2" s="2">
        <f>E2+F2</f>
        <v/>
      </c>
      <c r="H2" s="3" t="inlineStr">
        <is>
          <t>套</t>
        </is>
      </c>
      <c r="I2" s="2" t="n">
        <v>0</v>
      </c>
      <c r="J2" s="2">
        <f>G2*I2</f>
        <v/>
      </c>
      <c r="K2" s="3" t="inlineStr"/>
      <c r="L2" s="3" t="inlineStr"/>
      <c r="M2" s="3" t="inlineStr"/>
      <c r="N2" s="3" t="inlineStr">
        <is>
          <t>Q235B</t>
        </is>
      </c>
      <c r="O2" s="2" t="n">
        <v>0</v>
      </c>
      <c r="P2" s="2">
        <f>G2*O2</f>
        <v/>
      </c>
    </row>
    <row r="3">
      <c r="A3" s="2" t="n">
        <v>2</v>
      </c>
      <c r="B3" s="3" t="inlineStr">
        <is>
          <t>结构用无缝钢管</t>
        </is>
      </c>
      <c r="C3" s="3" t="inlineStr">
        <is>
          <t>DN100</t>
        </is>
      </c>
      <c r="D3" s="3" t="inlineStr"/>
      <c r="E3" s="2" t="n">
        <v>1</v>
      </c>
      <c r="F3" s="2" t="n">
        <v>0</v>
      </c>
      <c r="G3" s="2">
        <f>E3+F3</f>
        <v/>
      </c>
      <c r="H3" s="3" t="inlineStr">
        <is>
          <t>m</t>
        </is>
      </c>
      <c r="I3" s="2" t="n">
        <v>16.08</v>
      </c>
      <c r="J3" s="2">
        <f>G3*I3</f>
        <v/>
      </c>
      <c r="K3" s="3" t="inlineStr">
        <is>
          <t>Φ114.3x6.02 GB/T 8162</t>
        </is>
      </c>
      <c r="L3" s="3" t="inlineStr"/>
      <c r="M3" s="3" t="inlineStr"/>
      <c r="N3" s="3" t="inlineStr">
        <is>
          <t>Q235B</t>
        </is>
      </c>
      <c r="O3" s="2" t="n">
        <v>0.358902</v>
      </c>
      <c r="P3" s="2">
        <f>G3*O3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0" customWidth="1" min="2" max="2"/>
    <col width="15" customWidth="1" min="3" max="3"/>
    <col width="15" customWidth="1" min="4" max="4"/>
    <col width="8" customWidth="1" min="5" max="5"/>
    <col width="10" customWidth="1" min="6" max="6"/>
    <col width="6" customWidth="1" min="7" max="7"/>
    <col width="12" customWidth="1" min="8" max="8"/>
    <col width="12" customWidth="1" min="9" max="9"/>
    <col width="12" customWidth="1" min="10" max="10"/>
    <col width="25" customWidth="1" min="11" max="11"/>
    <col width="10" customWidth="1" min="12" max="12"/>
    <col width="8" customWidth="1" min="13" max="13"/>
    <col width="15" customWidth="1" min="14" max="14"/>
    <col width="12" customWidth="1" min="15" max="15"/>
  </cols>
  <sheetData>
    <row r="1">
      <c r="A1" s="1" t="inlineStr">
        <is>
          <t>序号</t>
        </is>
      </c>
      <c r="B1" s="1" t="inlineStr">
        <is>
          <t>管架编号</t>
        </is>
      </c>
      <c r="C1" s="1" t="inlineStr">
        <is>
          <t>名称</t>
        </is>
      </c>
      <c r="D1" s="1" t="inlineStr">
        <is>
          <t>规格</t>
        </is>
      </c>
      <c r="E1" s="1" t="inlineStr">
        <is>
          <t>等级</t>
        </is>
      </c>
      <c r="F1" s="1" t="inlineStr">
        <is>
          <t>数量</t>
        </is>
      </c>
      <c r="G1" s="1" t="inlineStr">
        <is>
          <t>单位</t>
        </is>
      </c>
      <c r="H1" s="1" t="inlineStr">
        <is>
          <t>材质</t>
        </is>
      </c>
      <c r="I1" s="1" t="inlineStr">
        <is>
          <t>单重(Kg)</t>
        </is>
      </c>
      <c r="J1" s="1" t="inlineStr">
        <is>
          <t>总重(Kg)</t>
        </is>
      </c>
      <c r="K1" s="1" t="inlineStr">
        <is>
          <t>技术条件</t>
        </is>
      </c>
      <c r="L1" s="1" t="inlineStr">
        <is>
          <t>备注</t>
        </is>
      </c>
      <c r="M1" s="1" t="inlineStr">
        <is>
          <t>管架序号</t>
        </is>
      </c>
      <c r="N1" s="1" t="inlineStr">
        <is>
          <t>单位表面积m/m²</t>
        </is>
      </c>
      <c r="O1" s="1" t="inlineStr">
        <is>
          <t>零件面积m²</t>
        </is>
      </c>
    </row>
    <row r="2">
      <c r="A2" s="2" t="n">
        <v>1</v>
      </c>
      <c r="B2" s="4" t="inlineStr">
        <is>
          <t>A1-200-C1</t>
        </is>
      </c>
      <c r="C2" s="4" t="inlineStr">
        <is>
          <t>U型螺栓</t>
        </is>
      </c>
      <c r="D2" s="4" t="inlineStr">
        <is>
          <t>DN200</t>
        </is>
      </c>
      <c r="E2" s="4" t="inlineStr"/>
      <c r="F2" s="2" t="n">
        <v>2</v>
      </c>
      <c r="G2" s="4" t="inlineStr">
        <is>
          <t>套</t>
        </is>
      </c>
      <c r="H2" s="4" t="inlineStr">
        <is>
          <t>Q235B</t>
        </is>
      </c>
      <c r="I2" s="2" t="n">
        <v>0</v>
      </c>
      <c r="J2" s="2" t="n">
        <v>0</v>
      </c>
      <c r="K2" s="4" t="inlineStr"/>
      <c r="L2" s="4" t="inlineStr"/>
      <c r="M2" s="4" t="n">
        <v>1</v>
      </c>
      <c r="N2" s="2" t="n">
        <v>0</v>
      </c>
      <c r="O2" s="2" t="n">
        <v>0</v>
      </c>
    </row>
    <row r="3">
      <c r="A3" s="2" t="n">
        <v>1</v>
      </c>
      <c r="B3" s="4" t="inlineStr">
        <is>
          <t>U1-A-200-C1</t>
        </is>
      </c>
      <c r="C3" s="4" t="inlineStr">
        <is>
          <t>U型螺栓</t>
        </is>
      </c>
      <c r="D3" s="4" t="inlineStr">
        <is>
          <t>DN200</t>
        </is>
      </c>
      <c r="E3" s="4" t="inlineStr"/>
      <c r="F3" s="2" t="n">
        <v>2</v>
      </c>
      <c r="G3" s="4" t="inlineStr">
        <is>
          <t>套</t>
        </is>
      </c>
      <c r="H3" s="4" t="inlineStr">
        <is>
          <t>Q235B</t>
        </is>
      </c>
      <c r="I3" s="2" t="n">
        <v>0</v>
      </c>
      <c r="J3" s="2" t="n">
        <v>0</v>
      </c>
      <c r="K3" s="4" t="inlineStr"/>
      <c r="L3" s="4" t="inlineStr"/>
      <c r="M3" s="4" t="n">
        <v>2</v>
      </c>
      <c r="N3" s="2" t="n">
        <v>0</v>
      </c>
      <c r="O3" s="2" t="n">
        <v>0</v>
      </c>
    </row>
    <row r="4">
      <c r="A4" s="2" t="n">
        <v>1</v>
      </c>
      <c r="B4" s="4" t="inlineStr">
        <is>
          <t>F2-100-50-C1-500-C-F-UP-HE</t>
        </is>
      </c>
      <c r="C4" s="4" t="inlineStr">
        <is>
          <t>结构用无缝钢管</t>
        </is>
      </c>
      <c r="D4" s="4" t="inlineStr">
        <is>
          <t>DN100</t>
        </is>
      </c>
      <c r="E4" s="4" t="inlineStr"/>
      <c r="F4" s="2" t="n">
        <v>1</v>
      </c>
      <c r="G4" s="4" t="inlineStr">
        <is>
          <t>m</t>
        </is>
      </c>
      <c r="H4" s="4" t="inlineStr">
        <is>
          <t>Q235B</t>
        </is>
      </c>
      <c r="I4" s="2" t="n">
        <v>16.08</v>
      </c>
      <c r="J4" s="2" t="n">
        <v>16.08</v>
      </c>
      <c r="K4" s="4" t="inlineStr">
        <is>
          <t>Φ114.3x6.02 GB/T 8162</t>
        </is>
      </c>
      <c r="L4" s="4" t="inlineStr"/>
      <c r="M4" s="4" t="n">
        <v>3</v>
      </c>
      <c r="N4" s="2" t="n">
        <v>0.358902</v>
      </c>
      <c r="O4" s="2" t="n">
        <v>0.358902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2026-03-11T09:14:31Z</dcterms:created>
  <dcterms:modified xsi:type="dcterms:W3CDTF">2026-03-11T09:14:31Z</dcterms:modified>
</cp:coreProperties>
</file>